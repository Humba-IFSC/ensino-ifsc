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 de Fichamento" sheetId="1" state="visible" r:id="rId1"/>
    <sheet xmlns:r="http://schemas.openxmlformats.org/officeDocument/2006/relationships" name="Guia Metodológ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7F7F7F"/>
      <sz val="8"/>
    </font>
    <font>
      <name val="Calibri"/>
      <b val="1"/>
      <color rgb="00555555"/>
      <sz val="9"/>
    </font>
    <font>
      <name val="Calibri"/>
      <b val="1"/>
      <color rgb="001F4E78"/>
      <sz val="11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000000"/>
      <sz val="10"/>
    </font>
    <font>
      <name val="Calibri"/>
      <b val="1"/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595959"/>
        <bgColor rgb="00595959"/>
      </patternFill>
    </fill>
    <fill>
      <patternFill patternType="solid">
        <fgColor rgb="001F497D"/>
        <bgColor rgb="001F497D"/>
      </patternFill>
    </fill>
    <fill>
      <patternFill patternType="solid">
        <fgColor rgb="002F5597"/>
        <bgColor rgb="002F5597"/>
      </patternFill>
    </fill>
    <fill>
      <patternFill patternType="solid">
        <fgColor rgb="001F7A8C"/>
        <bgColor rgb="001F7A8C"/>
      </patternFill>
    </fill>
    <fill>
      <patternFill patternType="solid">
        <fgColor rgb="005B3181"/>
        <bgColor rgb="005B3181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D1ECEE"/>
        <bgColor rgb="00D1ECEE"/>
      </patternFill>
    </fill>
    <fill>
      <patternFill patternType="solid">
        <fgColor rgb="00EADBF3"/>
        <bgColor rgb="00EADBF3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medium">
        <color rgb="007F7F7F"/>
      </top>
      <bottom style="medium">
        <color rgb="007F7F7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5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5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2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5" fillId="14" borderId="0" applyAlignment="1" pivotButton="0" quotePrefix="0" xfId="0">
      <alignment horizontal="center" vertical="center" wrapText="1"/>
    </xf>
    <xf numFmtId="0" fontId="0" fillId="14" borderId="0" pivotButton="0" quotePrefix="0" xfId="0"/>
    <xf numFmtId="0" fontId="8" fillId="9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30" customWidth="1" min="4" max="4"/>
    <col width="20" customWidth="1" min="5" max="5"/>
    <col width="30" customWidth="1" min="6" max="6"/>
    <col width="30" customWidth="1" min="7" max="7"/>
    <col width="30" customWidth="1" min="8" max="8"/>
    <col width="20" customWidth="1" min="9" max="9"/>
    <col width="30" customWidth="1" min="10" max="10"/>
    <col width="30" customWidth="1" min="11" max="11"/>
    <col width="30" customWidth="1" min="12" max="12"/>
    <col width="20" customWidth="1" min="13" max="13"/>
    <col width="30" customWidth="1" min="14" max="14"/>
    <col width="30" customWidth="1" min="15" max="15"/>
    <col width="30" customWidth="1" min="16" max="16"/>
    <col width="20" customWidth="1" min="17" max="17"/>
  </cols>
  <sheetData>
    <row r="1" ht="35" customHeight="1">
      <c r="A1" s="1" t="inlineStr">
        <is>
          <t>SISTEMA DE FICHAMENTO ACADÊMICO INTELIGENTE</t>
        </is>
      </c>
      <c r="Q1" s="2" t="inlineStr">
        <is>
          <t>Gerado: 2026-08-29 | v1.0</t>
        </is>
      </c>
    </row>
    <row r="2"/>
    <row r="3" ht="18" customHeight="1">
      <c r="A3" s="3" t="inlineStr">
        <is>
          <t>TOTAL DE ARTIGOS TRIADOS</t>
        </is>
      </c>
      <c r="B3" s="4" t="n"/>
      <c r="C3" s="3" t="inlineStr">
        <is>
          <t>FICHADOS COMPLETOS</t>
        </is>
      </c>
      <c r="D3" s="4" t="n"/>
      <c r="E3" s="3" t="inlineStr">
        <is>
          <t>% CONCLUSÃO</t>
        </is>
      </c>
      <c r="F3" s="4" t="n"/>
    </row>
    <row r="4" ht="22" customHeight="1">
      <c r="A4" s="5">
        <f>COUNTA(A8:A22)</f>
        <v/>
      </c>
      <c r="B4" s="4" t="n"/>
      <c r="C4" s="5">
        <f>COUNTIF(Q8:Q22, "Completo")</f>
        <v/>
      </c>
      <c r="D4" s="4" t="n"/>
      <c r="E4" s="6">
        <f>IFERROR(C4/A4, 0)</f>
        <v/>
      </c>
      <c r="F4" s="4" t="n"/>
    </row>
    <row r="5" ht="15" customHeight="1"/>
    <row r="6" ht="25" customHeight="1">
      <c r="A6" s="7" t="inlineStr">
        <is>
          <t>DADOS INICIAIS</t>
        </is>
      </c>
      <c r="B6" s="8" t="inlineStr">
        <is>
          <t>1. LEITURA EXPLORATÓRIA (Pré-Análise &amp; Triagem)</t>
        </is>
      </c>
      <c r="C6" s="9" t="n"/>
      <c r="D6" s="9" t="n"/>
      <c r="E6" s="9" t="n"/>
      <c r="F6" s="10" t="inlineStr">
        <is>
          <t>2. LEITURA SELETIVA (Filtragem &amp; Joio do Trigo)</t>
        </is>
      </c>
      <c r="G6" s="11" t="n"/>
      <c r="H6" s="11" t="n"/>
      <c r="I6" s="11" t="n"/>
      <c r="J6" s="12" t="inlineStr">
        <is>
          <t>3. LEITURA ANALÍTICA (Fichamento &amp; Codificação)</t>
        </is>
      </c>
      <c r="K6" s="13" t="n"/>
      <c r="L6" s="13" t="n"/>
      <c r="M6" s="13" t="n"/>
      <c r="N6" s="14" t="inlineStr">
        <is>
          <t>4. LEITURA INTERPRETATIVA (Síntese &amp; Contribuição TCC)</t>
        </is>
      </c>
      <c r="O6" s="15" t="n"/>
      <c r="P6" s="15" t="n"/>
      <c r="Q6" s="15" t="n"/>
    </row>
    <row r="7" ht="25" customHeight="1">
      <c r="A7" s="16" t="inlineStr">
        <is>
          <t>ID</t>
        </is>
      </c>
      <c r="B7" s="17" t="inlineStr">
        <is>
          <t>I. Título</t>
        </is>
      </c>
      <c r="C7" s="17" t="inlineStr">
        <is>
          <t>II. Autores</t>
        </is>
      </c>
      <c r="D7" s="17" t="inlineStr">
        <is>
          <t>III. Resumo &amp; Alinhamento</t>
        </is>
      </c>
      <c r="E7" s="17" t="inlineStr">
        <is>
          <t>IV. Alinhamento (0-E, 1-S, 2-R, 3-F)</t>
        </is>
      </c>
      <c r="F7" s="18" t="inlineStr">
        <is>
          <t>I. Leitura Diagonal</t>
        </is>
      </c>
      <c r="G7" s="18" t="inlineStr">
        <is>
          <t>II. Conceitos Chave</t>
        </is>
      </c>
      <c r="H7" s="18" t="inlineStr">
        <is>
          <t>III. Referências Relevantes</t>
        </is>
      </c>
      <c r="I7" s="18" t="inlineStr">
        <is>
          <t>IV. Relevância (0 a 3)</t>
        </is>
      </c>
      <c r="J7" s="19" t="inlineStr">
        <is>
          <t>I. Referencial &amp; Método</t>
        </is>
      </c>
      <c r="K7" s="19" t="inlineStr">
        <is>
          <t>II. Resultados &amp; Insights</t>
        </is>
      </c>
      <c r="L7" s="19" t="inlineStr">
        <is>
          <t>III. Anotações Gerais</t>
        </is>
      </c>
      <c r="M7" s="19" t="inlineStr">
        <is>
          <t>IV. Sistema de Cores (Bardin)</t>
        </is>
      </c>
      <c r="N7" s="20" t="inlineStr">
        <is>
          <t>I. Extração de Conceitos</t>
        </is>
      </c>
      <c r="O7" s="20" t="inlineStr">
        <is>
          <t>II. Relações Textuais</t>
        </is>
      </c>
      <c r="P7" s="20" t="inlineStr">
        <is>
          <t>III. Contribuição TCC Educação Ambiental</t>
        </is>
      </c>
      <c r="Q7" s="20" t="inlineStr">
        <is>
          <t>IV. Ficha Completa / Status</t>
        </is>
      </c>
    </row>
    <row r="8" ht="65" customHeight="1">
      <c r="A8" s="21" t="inlineStr">
        <is>
          <t>ART-001</t>
        </is>
      </c>
      <c r="B8" s="22" t="inlineStr">
        <is>
          <t>Incentivos Fiscais e a Cadeia de Reciclagem: Uma Análise da Lei 14.260/2021</t>
        </is>
      </c>
      <c r="C8" s="22" t="inlineStr">
        <is>
          <t>Silva, J. R.; Santos, M. A.</t>
        </is>
      </c>
      <c r="D8" s="22" t="inlineStr">
        <is>
          <t>Estuda os incentivos fiscais da Lei 14.260/2021 para cooperativas de catadores. Altamente alinhado com o tema de fomento econômico da reciclagem.</t>
        </is>
      </c>
      <c r="E8" s="23" t="inlineStr">
        <is>
          <t>3 - F</t>
        </is>
      </c>
      <c r="F8" s="22" t="inlineStr">
        <is>
          <t>Tabelas de alíquotas e benefícios para empresas recicladoras. Gráfico de projeção de impacto.</t>
        </is>
      </c>
      <c r="G8" s="22" t="inlineStr">
        <is>
          <t>Fomento à reciclagem, economia circular, cooperativas.</t>
        </is>
      </c>
      <c r="H8" s="22" t="inlineStr">
        <is>
          <t>Gil (2018); Severino (2016)</t>
        </is>
      </c>
      <c r="I8" s="23" t="n">
        <v>3</v>
      </c>
      <c r="J8" s="22" t="inlineStr">
        <is>
          <t>Pesquisa documental e análise quanti-quali das renúncias fiscais.</t>
        </is>
      </c>
      <c r="K8" s="22" t="inlineStr">
        <is>
          <t>A lei cria canais de financiamento privado direto para projetos de reciclagem, mas falta regulamentação municipal.</t>
        </is>
      </c>
      <c r="L8" s="22" t="inlineStr">
        <is>
          <t>Foco especial no Artigo 3º que trata dos fundos Pró-Reciclagem.</t>
        </is>
      </c>
      <c r="M8" s="23" t="inlineStr">
        <is>
          <t>Amarelo (Partes Importantes)</t>
        </is>
      </c>
      <c r="N8" s="22" t="inlineStr">
        <is>
          <t>Articulação de incentivos fiscais federais como catalisadores de infraestrutura local de reciclagem.</t>
        </is>
      </c>
      <c r="O8" s="22" t="inlineStr">
        <is>
          <t>Dialoga com o conceito de Educação Ambiental crítica ao mostrar o papel da inclusão socioeconômica de catadores.</t>
        </is>
      </c>
      <c r="P8" s="22" t="inlineStr">
        <is>
          <t>Fornece a base jurídica e econômica para discutir como a escola pode conscientizar sobre a reciclagem como vetor econômico.</t>
        </is>
      </c>
      <c r="Q8" s="23" t="inlineStr">
        <is>
          <t>Completo</t>
        </is>
      </c>
    </row>
    <row r="9" ht="65" customHeight="1">
      <c r="A9" s="24" t="inlineStr">
        <is>
          <t>ART-002</t>
        </is>
      </c>
      <c r="B9" s="25" t="inlineStr">
        <is>
          <t>Metodologias de Educação Ambiental e a Análise de Conteúdo de Bardin</t>
        </is>
      </c>
      <c r="C9" s="25" t="inlineStr">
        <is>
          <t>Souza, L. F.</t>
        </is>
      </c>
      <c r="D9" s="25" t="inlineStr">
        <is>
          <t>Aplica a análise de conteúdo de Bardin para mapear práticas pedagógicas de educação ambiental em escolas públicas.</t>
        </is>
      </c>
      <c r="E9" s="26" t="inlineStr">
        <is>
          <t>3 - F</t>
        </is>
      </c>
      <c r="F9" s="25" t="inlineStr">
        <is>
          <t>Análise das fases de Bardin (pré-análise, exploração do material, interpretação) nas tabelas metodológicas.</t>
        </is>
      </c>
      <c r="G9" s="25" t="inlineStr">
        <is>
          <t>Educação ambiental reflexiva, Laurence Bardin, práticas pedagógicas.</t>
        </is>
      </c>
      <c r="H9" s="25" t="inlineStr">
        <is>
          <t>Bardin (2011); Marconi &amp; Lakatos (2020)</t>
        </is>
      </c>
      <c r="I9" s="26" t="n">
        <v>3</v>
      </c>
      <c r="J9" s="25" t="inlineStr">
        <is>
          <t>Análise de conteúdo categorial temática de relatórios escolares.</t>
        </is>
      </c>
      <c r="K9" s="25" t="inlineStr">
        <is>
          <t>As escolas focam muito na reciclagem utilitarista (fazer brinquedos) e pouco na conscientização crítica da cadeia produtiva.</t>
        </is>
      </c>
      <c r="L9" s="25" t="inlineStr">
        <is>
          <t>Modelo perfeito de como aplicar Bardin ao nosso problema de TCC.</t>
        </is>
      </c>
      <c r="M9" s="26" t="inlineStr">
        <is>
          <t>Laranja (Definições e Conceitos)</t>
        </is>
      </c>
      <c r="N9" s="25" t="inlineStr">
        <is>
          <t>Uso rigoroso das categorias de Bardin para classificar discursos pedagógicos em EA.</t>
        </is>
      </c>
      <c r="O9" s="25" t="inlineStr">
        <is>
          <t>Base metodológica principal que apoiará a análise de dados do nosso próprio TCC.</t>
        </is>
      </c>
      <c r="P9" s="25" t="inlineStr">
        <is>
          <t>Modelo direto para a nossa seção de Metodologia e análise de dados sobre percepção de reciclagem.</t>
        </is>
      </c>
      <c r="Q9" s="26" t="inlineStr">
        <is>
          <t>Completo</t>
        </is>
      </c>
    </row>
    <row r="10" ht="65" customHeight="1">
      <c r="A10" s="21" t="inlineStr">
        <is>
          <t>ART-003</t>
        </is>
      </c>
      <c r="B10" s="22" t="inlineStr">
        <is>
          <t>Educação Ambiental Crítica e Cooperativas de Reciclagem no Brasil</t>
        </is>
      </c>
      <c r="C10" s="22" t="inlineStr">
        <is>
          <t>Oliveira, A. M.; Lima, R. T.</t>
        </is>
      </c>
      <c r="D10" s="22" t="inlineStr">
        <is>
          <t>Analisa a interseção entre educação ambiental comunitária, cooperativas de reciclagem e políticas públicas de fomento.</t>
        </is>
      </c>
      <c r="E10" s="23" t="inlineStr">
        <is>
          <t>2 - R</t>
        </is>
      </c>
      <c r="F10" s="22" t="inlineStr">
        <is>
          <t>Discussão teórica sobre educação popular e visitas a cooperativas.</t>
        </is>
      </c>
      <c r="G10" s="22" t="inlineStr">
        <is>
          <t>Educação ambiental crítica, cooperativismo, emancipação social.</t>
        </is>
      </c>
      <c r="H10" s="22" t="inlineStr">
        <is>
          <t>Freire (1996); Layrargues (2012)</t>
        </is>
      </c>
      <c r="I10" s="23" t="n">
        <v>2</v>
      </c>
      <c r="J10" s="22" t="inlineStr">
        <is>
          <t>Estudo de caso qualitativo com entrevistas semiestruturadas.</t>
        </is>
      </c>
      <c r="K10" s="22" t="inlineStr">
        <is>
          <t>O fomento financeiro melhora a infraestrutura, mas a educação comunitária sustenta a adesão dos moradores.</t>
        </is>
      </c>
      <c r="L10" s="22" t="inlineStr">
        <is>
          <t>Revisar na redação final da fundamentação teórica.</t>
        </is>
      </c>
      <c r="M10" s="23" t="inlineStr">
        <is>
          <t>Rosa (Problema/Objetivos)</t>
        </is>
      </c>
      <c r="N10" s="22" t="inlineStr">
        <is>
          <t>Educação ambiental como instrumento de emancipação associado à justiça ambiental.</t>
        </is>
      </c>
      <c r="O10" s="22" t="inlineStr">
        <is>
          <t>Conecta-se com a Lei 14.260 ao justificar por que o incentivo fiscal deve vir acompanhado de ações educativas.</t>
        </is>
      </c>
      <c r="P10" s="22" t="inlineStr">
        <is>
          <t>Excelente suporte teórico para a discussão sobre por que o incentivo fiscal sozinho não gera sustentabilidade de longo prazo.</t>
        </is>
      </c>
      <c r="Q10" s="23" t="inlineStr">
        <is>
          <t>Em Andamento</t>
        </is>
      </c>
    </row>
    <row r="11" ht="40" customHeight="1">
      <c r="A11" s="27" t="inlineStr">
        <is>
          <t>ART-004</t>
        </is>
      </c>
      <c r="B11" s="25" t="n"/>
      <c r="C11" s="25" t="n"/>
      <c r="D11" s="25" t="n"/>
      <c r="E11" s="26" t="n"/>
      <c r="F11" s="25" t="n"/>
      <c r="G11" s="25" t="n"/>
      <c r="H11" s="25" t="n"/>
      <c r="I11" s="26" t="n"/>
      <c r="J11" s="25" t="n"/>
      <c r="K11" s="25" t="n"/>
      <c r="L11" s="25" t="n"/>
      <c r="M11" s="26" t="n"/>
      <c r="N11" s="25" t="n"/>
      <c r="O11" s="25" t="n"/>
      <c r="P11" s="25" t="n"/>
      <c r="Q11" s="26" t="n"/>
    </row>
    <row r="12" ht="40" customHeight="1">
      <c r="A12" s="27" t="inlineStr">
        <is>
          <t>ART-005</t>
        </is>
      </c>
      <c r="B12" s="22" t="n"/>
      <c r="C12" s="22" t="n"/>
      <c r="D12" s="22" t="n"/>
      <c r="E12" s="23" t="n"/>
      <c r="F12" s="22" t="n"/>
      <c r="G12" s="22" t="n"/>
      <c r="H12" s="22" t="n"/>
      <c r="I12" s="23" t="n"/>
      <c r="J12" s="22" t="n"/>
      <c r="K12" s="22" t="n"/>
      <c r="L12" s="22" t="n"/>
      <c r="M12" s="23" t="n"/>
      <c r="N12" s="22" t="n"/>
      <c r="O12" s="22" t="n"/>
      <c r="P12" s="22" t="n"/>
      <c r="Q12" s="23" t="n"/>
    </row>
    <row r="13" ht="40" customHeight="1">
      <c r="A13" s="27" t="inlineStr">
        <is>
          <t>ART-006</t>
        </is>
      </c>
      <c r="B13" s="25" t="n"/>
      <c r="C13" s="25" t="n"/>
      <c r="D13" s="25" t="n"/>
      <c r="E13" s="26" t="n"/>
      <c r="F13" s="25" t="n"/>
      <c r="G13" s="25" t="n"/>
      <c r="H13" s="25" t="n"/>
      <c r="I13" s="26" t="n"/>
      <c r="J13" s="25" t="n"/>
      <c r="K13" s="25" t="n"/>
      <c r="L13" s="25" t="n"/>
      <c r="M13" s="26" t="n"/>
      <c r="N13" s="25" t="n"/>
      <c r="O13" s="25" t="n"/>
      <c r="P13" s="25" t="n"/>
      <c r="Q13" s="26" t="n"/>
    </row>
    <row r="14" ht="40" customHeight="1">
      <c r="A14" s="27" t="inlineStr">
        <is>
          <t>ART-007</t>
        </is>
      </c>
      <c r="B14" s="22" t="n"/>
      <c r="C14" s="22" t="n"/>
      <c r="D14" s="22" t="n"/>
      <c r="E14" s="23" t="n"/>
      <c r="F14" s="22" t="n"/>
      <c r="G14" s="22" t="n"/>
      <c r="H14" s="22" t="n"/>
      <c r="I14" s="23" t="n"/>
      <c r="J14" s="22" t="n"/>
      <c r="K14" s="22" t="n"/>
      <c r="L14" s="22" t="n"/>
      <c r="M14" s="23" t="n"/>
      <c r="N14" s="22" t="n"/>
      <c r="O14" s="22" t="n"/>
      <c r="P14" s="22" t="n"/>
      <c r="Q14" s="23" t="n"/>
    </row>
    <row r="15" ht="40" customHeight="1">
      <c r="A15" s="27" t="inlineStr">
        <is>
          <t>ART-008</t>
        </is>
      </c>
      <c r="B15" s="25" t="n"/>
      <c r="C15" s="25" t="n"/>
      <c r="D15" s="25" t="n"/>
      <c r="E15" s="26" t="n"/>
      <c r="F15" s="25" t="n"/>
      <c r="G15" s="25" t="n"/>
      <c r="H15" s="25" t="n"/>
      <c r="I15" s="26" t="n"/>
      <c r="J15" s="25" t="n"/>
      <c r="K15" s="25" t="n"/>
      <c r="L15" s="25" t="n"/>
      <c r="M15" s="26" t="n"/>
      <c r="N15" s="25" t="n"/>
      <c r="O15" s="25" t="n"/>
      <c r="P15" s="25" t="n"/>
      <c r="Q15" s="26" t="n"/>
    </row>
    <row r="16" ht="40" customHeight="1">
      <c r="A16" s="27" t="inlineStr">
        <is>
          <t>ART-009</t>
        </is>
      </c>
      <c r="B16" s="22" t="n"/>
      <c r="C16" s="22" t="n"/>
      <c r="D16" s="22" t="n"/>
      <c r="E16" s="23" t="n"/>
      <c r="F16" s="22" t="n"/>
      <c r="G16" s="22" t="n"/>
      <c r="H16" s="22" t="n"/>
      <c r="I16" s="23" t="n"/>
      <c r="J16" s="22" t="n"/>
      <c r="K16" s="22" t="n"/>
      <c r="L16" s="22" t="n"/>
      <c r="M16" s="23" t="n"/>
      <c r="N16" s="22" t="n"/>
      <c r="O16" s="22" t="n"/>
      <c r="P16" s="22" t="n"/>
      <c r="Q16" s="23" t="n"/>
    </row>
    <row r="17" ht="40" customHeight="1">
      <c r="A17" s="27" t="inlineStr">
        <is>
          <t>ART-010</t>
        </is>
      </c>
      <c r="B17" s="25" t="n"/>
      <c r="C17" s="25" t="n"/>
      <c r="D17" s="25" t="n"/>
      <c r="E17" s="26" t="n"/>
      <c r="F17" s="25" t="n"/>
      <c r="G17" s="25" t="n"/>
      <c r="H17" s="25" t="n"/>
      <c r="I17" s="26" t="n"/>
      <c r="J17" s="25" t="n"/>
      <c r="K17" s="25" t="n"/>
      <c r="L17" s="25" t="n"/>
      <c r="M17" s="26" t="n"/>
      <c r="N17" s="25" t="n"/>
      <c r="O17" s="25" t="n"/>
      <c r="P17" s="25" t="n"/>
      <c r="Q17" s="26" t="n"/>
    </row>
    <row r="18" ht="40" customHeight="1">
      <c r="A18" s="27" t="inlineStr">
        <is>
          <t>ART-011</t>
        </is>
      </c>
      <c r="B18" s="22" t="n"/>
      <c r="C18" s="22" t="n"/>
      <c r="D18" s="22" t="n"/>
      <c r="E18" s="23" t="n"/>
      <c r="F18" s="22" t="n"/>
      <c r="G18" s="22" t="n"/>
      <c r="H18" s="22" t="n"/>
      <c r="I18" s="23" t="n"/>
      <c r="J18" s="22" t="n"/>
      <c r="K18" s="22" t="n"/>
      <c r="L18" s="22" t="n"/>
      <c r="M18" s="23" t="n"/>
      <c r="N18" s="22" t="n"/>
      <c r="O18" s="22" t="n"/>
      <c r="P18" s="22" t="n"/>
      <c r="Q18" s="23" t="n"/>
    </row>
    <row r="19" ht="40" customHeight="1">
      <c r="A19" s="27" t="inlineStr">
        <is>
          <t>ART-012</t>
        </is>
      </c>
      <c r="B19" s="25" t="n"/>
      <c r="C19" s="25" t="n"/>
      <c r="D19" s="25" t="n"/>
      <c r="E19" s="26" t="n"/>
      <c r="F19" s="25" t="n"/>
      <c r="G19" s="25" t="n"/>
      <c r="H19" s="25" t="n"/>
      <c r="I19" s="26" t="n"/>
      <c r="J19" s="25" t="n"/>
      <c r="K19" s="25" t="n"/>
      <c r="L19" s="25" t="n"/>
      <c r="M19" s="26" t="n"/>
      <c r="N19" s="25" t="n"/>
      <c r="O19" s="25" t="n"/>
      <c r="P19" s="25" t="n"/>
      <c r="Q19" s="26" t="n"/>
    </row>
    <row r="20" ht="40" customHeight="1">
      <c r="A20" s="27" t="inlineStr">
        <is>
          <t>ART-013</t>
        </is>
      </c>
      <c r="B20" s="22" t="n"/>
      <c r="C20" s="22" t="n"/>
      <c r="D20" s="22" t="n"/>
      <c r="E20" s="23" t="n"/>
      <c r="F20" s="22" t="n"/>
      <c r="G20" s="22" t="n"/>
      <c r="H20" s="22" t="n"/>
      <c r="I20" s="23" t="n"/>
      <c r="J20" s="22" t="n"/>
      <c r="K20" s="22" t="n"/>
      <c r="L20" s="22" t="n"/>
      <c r="M20" s="23" t="n"/>
      <c r="N20" s="22" t="n"/>
      <c r="O20" s="22" t="n"/>
      <c r="P20" s="22" t="n"/>
      <c r="Q20" s="23" t="n"/>
    </row>
    <row r="21" ht="40" customHeight="1">
      <c r="A21" s="27" t="inlineStr">
        <is>
          <t>ART-014</t>
        </is>
      </c>
      <c r="B21" s="25" t="n"/>
      <c r="C21" s="25" t="n"/>
      <c r="D21" s="25" t="n"/>
      <c r="E21" s="26" t="n"/>
      <c r="F21" s="25" t="n"/>
      <c r="G21" s="25" t="n"/>
      <c r="H21" s="25" t="n"/>
      <c r="I21" s="26" t="n"/>
      <c r="J21" s="25" t="n"/>
      <c r="K21" s="25" t="n"/>
      <c r="L21" s="25" t="n"/>
      <c r="M21" s="26" t="n"/>
      <c r="N21" s="25" t="n"/>
      <c r="O21" s="25" t="n"/>
      <c r="P21" s="25" t="n"/>
      <c r="Q21" s="26" t="n"/>
    </row>
    <row r="22" ht="40" customHeight="1">
      <c r="A22" s="27" t="inlineStr">
        <is>
          <t>ART-015</t>
        </is>
      </c>
      <c r="B22" s="22" t="n"/>
      <c r="C22" s="22" t="n"/>
      <c r="D22" s="22" t="n"/>
      <c r="E22" s="23" t="n"/>
      <c r="F22" s="22" t="n"/>
      <c r="G22" s="22" t="n"/>
      <c r="H22" s="22" t="n"/>
      <c r="I22" s="23" t="n"/>
      <c r="J22" s="22" t="n"/>
      <c r="K22" s="22" t="n"/>
      <c r="L22" s="22" t="n"/>
      <c r="M22" s="23" t="n"/>
      <c r="N22" s="22" t="n"/>
      <c r="O22" s="22" t="n"/>
      <c r="P22" s="22" t="n"/>
      <c r="Q22" s="23" t="n"/>
    </row>
    <row r="23" ht="40" customHeight="1">
      <c r="A23" s="27" t="inlineStr">
        <is>
          <t>ART-016</t>
        </is>
      </c>
      <c r="B23" s="25" t="n"/>
      <c r="C23" s="25" t="n"/>
      <c r="D23" s="25" t="n"/>
      <c r="E23" s="26" t="n"/>
      <c r="F23" s="25" t="n"/>
      <c r="G23" s="25" t="n"/>
      <c r="H23" s="25" t="n"/>
      <c r="I23" s="26" t="n"/>
      <c r="J23" s="25" t="n"/>
      <c r="K23" s="25" t="n"/>
      <c r="L23" s="25" t="n"/>
      <c r="M23" s="26" t="n"/>
      <c r="N23" s="25" t="n"/>
      <c r="O23" s="25" t="n"/>
      <c r="P23" s="25" t="n"/>
      <c r="Q23" s="26" t="n"/>
    </row>
    <row r="24" ht="40" customHeight="1">
      <c r="A24" s="27" t="inlineStr">
        <is>
          <t>ART-017</t>
        </is>
      </c>
      <c r="B24" s="22" t="n"/>
      <c r="C24" s="22" t="n"/>
      <c r="D24" s="22" t="n"/>
      <c r="E24" s="23" t="n"/>
      <c r="F24" s="22" t="n"/>
      <c r="G24" s="22" t="n"/>
      <c r="H24" s="22" t="n"/>
      <c r="I24" s="23" t="n"/>
      <c r="J24" s="22" t="n"/>
      <c r="K24" s="22" t="n"/>
      <c r="L24" s="22" t="n"/>
      <c r="M24" s="23" t="n"/>
      <c r="N24" s="22" t="n"/>
      <c r="O24" s="22" t="n"/>
      <c r="P24" s="22" t="n"/>
      <c r="Q24" s="23" t="n"/>
    </row>
    <row r="25" ht="40" customHeight="1">
      <c r="A25" s="27" t="inlineStr">
        <is>
          <t>ART-018</t>
        </is>
      </c>
      <c r="B25" s="25" t="n"/>
      <c r="C25" s="25" t="n"/>
      <c r="D25" s="25" t="n"/>
      <c r="E25" s="26" t="n"/>
      <c r="F25" s="25" t="n"/>
      <c r="G25" s="25" t="n"/>
      <c r="H25" s="25" t="n"/>
      <c r="I25" s="26" t="n"/>
      <c r="J25" s="25" t="n"/>
      <c r="K25" s="25" t="n"/>
      <c r="L25" s="25" t="n"/>
      <c r="M25" s="26" t="n"/>
      <c r="N25" s="25" t="n"/>
      <c r="O25" s="25" t="n"/>
      <c r="P25" s="25" t="n"/>
      <c r="Q25" s="26" t="n"/>
    </row>
  </sheetData>
  <mergeCells count="10">
    <mergeCell ref="A4:B4"/>
    <mergeCell ref="E4:F4"/>
    <mergeCell ref="B6:E6"/>
    <mergeCell ref="J6:M6"/>
    <mergeCell ref="N6:Q6"/>
    <mergeCell ref="C3:D3"/>
    <mergeCell ref="A3:B3"/>
    <mergeCell ref="E3:F3"/>
    <mergeCell ref="F6:I6"/>
    <mergeCell ref="C4:D4"/>
  </mergeCells>
  <dataValidations count="4">
    <dataValidation sqref="E8:E25" showDropDown="0" showInputMessage="0" showErrorMessage="0" allowBlank="1" errorTitle="Item Inválido" error="Escolha um item da lista" promptTitle="Alinhamento Exploratório" prompt="Selecione o nível de alinhamento exploratório" type="list">
      <formula1>"0 - E, 1 - S, 2 - R, 3 - F"</formula1>
    </dataValidation>
    <dataValidation sqref="I8:I25" showDropDown="0" showInputMessage="0" showErrorMessage="0" allowBlank="1" errorTitle="Item Inválido" error="Escolha um valor entre 0 e 3" promptTitle="Relevância" prompt="Selecione a relevância da fonte (0-baixa a 3-crítica)" type="list">
      <formula1>"0, 1, 2, 3"</formula1>
    </dataValidation>
    <dataValidation sqref="M8:M25" showDropDown="0" showInputMessage="0" showErrorMessage="0" allowBlank="1" type="list">
      <formula1>"Amarelo (Partes Importantes), Laranja (Definições/Conceitos), Rosa (Problema/Objetivos), Verde (Citação já Lida)"</formula1>
    </dataValidation>
    <dataValidation sqref="Q8:Q25" showDropDown="0" showInputMessage="0" showErrorMessage="0" allowBlank="1" type="list">
      <formula1>"Não Iniciado, Em Andamento, Completo"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85" customWidth="1" min="2" max="2"/>
  </cols>
  <sheetData>
    <row r="1" ht="30" customHeight="1">
      <c r="A1" s="28" t="inlineStr">
        <is>
          <t>MANUAL DE METODOLOGIA E FICHA DE INSTRUÇÃO (GIL &amp; BARDIN)</t>
        </is>
      </c>
    </row>
    <row r="3" ht="24" customHeight="1">
      <c r="A3" s="29" t="inlineStr">
        <is>
          <t>CONCEITOS METODOLÓGICOS E BOAS PRÁTICAS</t>
        </is>
      </c>
      <c r="B3" s="30" t="n"/>
    </row>
    <row r="4" ht="20" customHeight="1">
      <c r="A4" s="16" t="inlineStr">
        <is>
          <t>Dimensão / Etapa</t>
        </is>
      </c>
      <c r="B4" s="16" t="inlineStr">
        <is>
          <t>Diretrizes e Fundamentação Metodológica (Gil, Severino e Bardin)</t>
        </is>
      </c>
    </row>
    <row r="5" ht="145" customHeight="1">
      <c r="A5" s="31" t="inlineStr">
        <is>
          <t>1. Leitura Exploratória
(Gil, p. 54)</t>
        </is>
      </c>
      <c r="B5" s="25" t="inlineStr">
        <is>
          <t>Finalidade: Seleção preliminar do material de pesquisa com base na leitura de títulos, autores e resumo.
Critério de Alinhamento:
• 0 - E (Excluir): O artigo não dialoga com o TCC em Educação Ambiental ou a cadeia de reciclagem.
• 1 - S (Selecionar): Traz o tema de reciclagem de forma geral, mas não aborda incentivos fiscais diretamente.
• 2 - R (Revisar): Possui forte componente de Educação Ambiental ou legislação sobre resíduos; merece releitura.
• 3 - F (Fichar): Alinhamento perfeito! Aborda a Lei 14.260/2021 de incentivos à reciclagem integrada a ações educativas e sociais.</t>
        </is>
      </c>
    </row>
    <row r="6" ht="145" customHeight="1">
      <c r="A6" s="32" t="inlineStr">
        <is>
          <t>2. Leitura Seletiva
(Gil, p. 54)</t>
        </is>
      </c>
      <c r="B6" s="22" t="inlineStr">
        <is>
          <t>Finalidade: Separar o joio do trigo. Leitura diagonal rápida de seções estruturais (tabelas, figuras, sumário) para identificar de fato o que será aproveitado.
Diretrizes:
• Avalie tabelas e figuras para ver se contêm dados concretos da cadeia de reciclagem ou impacto dos incentivos fiscais.
• Cheque as referências bibliográficas do artigo: se citar Bardin (2011) ou Gil (2018), destaque para a próxima fase.</t>
        </is>
      </c>
    </row>
    <row r="7" ht="145" customHeight="1">
      <c r="A7" s="31" t="inlineStr">
        <is>
          <t>3. Leitura Analítica
(Bardin / Severino)</t>
        </is>
      </c>
      <c r="B7" s="25" t="inlineStr">
        <is>
          <t>Finalidade: Leitura minuciosa e estruturada, preparando o fichamento técnico através de anotações e realce por cores.
Sistema de Codificação por Cores (Laurence Bardin):
• Amarelo: Partes e trechos importantes do texto.
• Laranja: Definições e conceitos essenciais (ex: 'fomento fiscal', 'reciclabilidade', 'educação ambiental crítica').
• Rosa: Formulação do problema de pesquisa, hipóteses de trabalho e objetivos declarados pelos autores.
• Verde: Citações proeminentes de outros autores relevantes que você já leu ou pretende consultar.</t>
        </is>
      </c>
    </row>
    <row r="8" ht="145" customHeight="1">
      <c r="A8" s="32" t="inlineStr">
        <is>
          <t>4. Leitura Interpretativa
(Bardin / Severino)</t>
        </is>
      </c>
      <c r="B8" s="22" t="inlineStr">
        <is>
          <t>Finalidade: Extração conceitual avançada, cruzamento de dados com outros artigos da revisão e delimitação da aplicação no TCC.
Aplicação em Educação Ambiental:
• Utilize este campo para detalhar como o artigo sustenta os argumentos do seu TCC (ex: 'Serve de base para justificar por que os incentivos da Lei 14.260 devem ser acompanhados de programas de conscientização nas escolas comunitárias').</t>
        </is>
      </c>
    </row>
    <row r="9" ht="320" customHeight="1">
      <c r="A9" s="31" t="inlineStr">
        <is>
          <t>🚀 Engenharia de Prompt
para Fichamento com IA
(Copia e Cola)</t>
        </is>
      </c>
      <c r="B9" s="25" t="inlineStr">
        <is>
          <t>Instrução: Copie o prompt abaixo e cole no seu Chat de IA Generativa junto com o PDF do artigo para automatizar o preenchimento desta planilha:
"""Aja como um Professor Doutor especialista em Metodologia de Pesquisa em Educação e especialista em Educação Ambiental. Analise o artigo científico fornecido e extraia de forma estruturada as informações necessárias para preencher nossa planilha de fichamento (Método Carlos Gil / Bardin). Retorne os dados exatamente no seguinte formato para eu copiar e colar:
1. TÍTULO: [Título do artigo]
2. AUTORES: [Autores]
3. RESUMO &amp; ALINHAMENTO: [Resumo focado na nossa pesquisa sobre incentivo à reciclagem/Lei 14.260 e Educação Ambiental]
4. ALINHAMENTO EXPLORATÓRIO (Escolha uma opção): [0 - E, 1 - S, 2 - R, 3 - F]
5. LEITURA DIAGONAL: [O que de útil há em tabelas, gráficos ou figuras?]
6. CONCEITOS CHAVE: [Listar principais conceitos e termos técnicos]
7. REFERÊNCIAS RELEVANTES: [Quais textos citados merecem consulta?]
8. RELEVÂNCIA SELETIVA (Escolha de 0 a 3): [Nota de relevância]
9. REFERENCIAL &amp; MÉTODO: [Como a pesquisa foi feita? Aplicou Bardin?]
10. RESULTADOS &amp; INSIGHTS: [Principais descobertas e conclusões]
11. ANOTAÇÕES GERAIS: [Aspectos técnicos e trechos dignos de destaque]
12. COR MAIS PRESENTE NO GRIFO (Escolha uma): [Amarelo (Importante) / Laranja (Conceitos) / Rosa (Objetivos) / Verde (Citações)]
13. SÍNTESE DE CONCEITOS: [Resumo interpretativo crítico do artigo]
14. RELAÇÕES TEXTUAIS: [Como este texto se conecta com outros sobre a Lei 14.260 e Educação Ambiental?]
15. CONTRIBUIÇÃO TCC EA: [Como este texto resolve ou fundamenta o problema do TCC sobre Educação Ambiental e Reciclagem?]"""</t>
        </is>
      </c>
    </row>
  </sheetData>
  <mergeCells count="1"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2026-08-29T21:09:50Z</dcterms:created>
  <dcterms:modified xmlns:dcterms="http://purl.org/dc/terms/" xmlns:xsi="http://www.w3.org/2001/XMLSchema-instance" xsi:type="dcterms:W3CDTF">2026-08-29T21:09:50Z</dcterms:modified>
</cp:coreProperties>
</file>