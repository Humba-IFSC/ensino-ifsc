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3" fontId="5" fillId="0" borderId="3" applyAlignment="1" pivotButton="0" quotePrefix="0" xfId="0">
      <alignment horizontal="right"/>
    </xf>
    <xf numFmtId="0" fontId="4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164" fontId="5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5" customWidth="1" min="4" max="4"/>
    <col width="18" customWidth="1" min="5" max="5"/>
    <col width="18" customWidth="1" min="6" max="6"/>
  </cols>
  <sheetData>
    <row r="1">
      <c r="A1" s="1" t="inlineStr">
        <is>
          <t>MALA DIRETA - GRUPO DE PESQUISA (EDUCAÇÃO AMBIENTAL)</t>
        </is>
      </c>
    </row>
    <row r="2">
      <c r="A2" s="2" t="inlineStr">
        <is>
          <t>Generated 2026-08-29 | v1.0</t>
        </is>
      </c>
    </row>
    <row r="4" ht="28" customHeight="1">
      <c r="A4" s="3" t="inlineStr">
        <is>
          <t>ID</t>
        </is>
      </c>
      <c r="B4" s="3" t="inlineStr">
        <is>
          <t>Nome (Preencher)</t>
        </is>
      </c>
      <c r="C4" s="3" t="inlineStr">
        <is>
          <t>E-mail</t>
        </is>
      </c>
      <c r="D4" s="3" t="inlineStr">
        <is>
          <t>Categoria</t>
        </is>
      </c>
      <c r="E4" s="3" t="inlineStr">
        <is>
          <t>Status do Envio</t>
        </is>
      </c>
      <c r="F4" s="3" t="inlineStr">
        <is>
          <t>Data de Envio</t>
        </is>
      </c>
      <c r="H4" s="4" t="inlineStr">
        <is>
          <t>MÉTRICAS DA CAMPANHA</t>
        </is>
      </c>
    </row>
    <row r="5" ht="20" customHeight="1">
      <c r="A5" s="5" t="n">
        <v>1</v>
      </c>
      <c r="B5" s="6" t="inlineStr"/>
      <c r="C5" s="7" t="inlineStr">
        <is>
          <t>humberto.oliveira@ifsc.edu.br</t>
        </is>
      </c>
      <c r="D5" s="7" t="inlineStr">
        <is>
          <t>Docente</t>
        </is>
      </c>
      <c r="E5" s="5" t="inlineStr">
        <is>
          <t>Pendente</t>
        </is>
      </c>
      <c r="F5" s="8" t="n"/>
      <c r="H5" s="9" t="inlineStr">
        <is>
          <t>Total de Contatos</t>
        </is>
      </c>
      <c r="I5" s="10">
        <f>COUNTA(C5:C35)</f>
        <v/>
      </c>
    </row>
    <row r="6" ht="20" customHeight="1">
      <c r="A6" s="11" t="n">
        <v>2</v>
      </c>
      <c r="B6" s="6" t="inlineStr"/>
      <c r="C6" s="12" t="inlineStr">
        <is>
          <t>joce.mellogiotto@ifsc.edu.br</t>
        </is>
      </c>
      <c r="D6" s="12" t="inlineStr">
        <is>
          <t>Docente</t>
        </is>
      </c>
      <c r="E6" s="5" t="inlineStr">
        <is>
          <t>Pendente</t>
        </is>
      </c>
      <c r="F6" s="8" t="n"/>
      <c r="H6" s="9" t="inlineStr">
        <is>
          <t>Docentes</t>
        </is>
      </c>
      <c r="I6" s="10">
        <f>COUNTIF(D5:D35, "Docente")</f>
        <v/>
      </c>
    </row>
    <row r="7" ht="20" customHeight="1">
      <c r="A7" s="5" t="n">
        <v>3</v>
      </c>
      <c r="B7" s="6" t="inlineStr"/>
      <c r="C7" s="7" t="inlineStr">
        <is>
          <t>volmir@ifsc.edu.br</t>
        </is>
      </c>
      <c r="D7" s="7" t="inlineStr">
        <is>
          <t>Docente</t>
        </is>
      </c>
      <c r="E7" s="5" t="inlineStr">
        <is>
          <t>Pendente</t>
        </is>
      </c>
      <c r="F7" s="8" t="n"/>
      <c r="H7" s="9" t="inlineStr">
        <is>
          <t>Discentes</t>
        </is>
      </c>
      <c r="I7" s="10">
        <f>COUNTIF(D5:D35, "Discente")</f>
        <v/>
      </c>
    </row>
    <row r="8" ht="20" customHeight="1">
      <c r="A8" s="11" t="n">
        <v>4</v>
      </c>
      <c r="B8" s="6" t="inlineStr"/>
      <c r="C8" s="12" t="inlineStr">
        <is>
          <t>engenheiro.alessandrogomes@gmail.com</t>
        </is>
      </c>
      <c r="D8" s="12" t="inlineStr">
        <is>
          <t>Discente</t>
        </is>
      </c>
      <c r="E8" s="5" t="inlineStr">
        <is>
          <t>Pendente</t>
        </is>
      </c>
      <c r="F8" s="8" t="n"/>
      <c r="H8" s="9" t="inlineStr">
        <is>
          <t>Enviados</t>
        </is>
      </c>
      <c r="I8" s="10">
        <f>COUNTIF(E5:E35, "Enviado")</f>
        <v/>
      </c>
    </row>
    <row r="9" ht="20" customHeight="1">
      <c r="A9" s="5" t="n">
        <v>5</v>
      </c>
      <c r="B9" s="6" t="inlineStr"/>
      <c r="C9" s="7" t="inlineStr">
        <is>
          <t>barbosa7585@gmail.com</t>
        </is>
      </c>
      <c r="D9" s="7" t="inlineStr">
        <is>
          <t>Discente</t>
        </is>
      </c>
      <c r="E9" s="5" t="inlineStr">
        <is>
          <t>Pendente</t>
        </is>
      </c>
      <c r="F9" s="8" t="n"/>
      <c r="H9" s="9" t="inlineStr">
        <is>
          <t>Pendentes</t>
        </is>
      </c>
      <c r="I9" s="10">
        <f>COUNTIF(E5:E35, "Pendente")</f>
        <v/>
      </c>
    </row>
    <row r="10" ht="20" customHeight="1">
      <c r="A10" s="11" t="n">
        <v>6</v>
      </c>
      <c r="B10" s="6" t="inlineStr"/>
      <c r="C10" s="12" t="inlineStr">
        <is>
          <t>ccabrera.jornal@gmail.com</t>
        </is>
      </c>
      <c r="D10" s="12" t="inlineStr">
        <is>
          <t>Discente</t>
        </is>
      </c>
      <c r="E10" s="5" t="inlineStr">
        <is>
          <t>Pendente</t>
        </is>
      </c>
      <c r="F10" s="8" t="n"/>
      <c r="H10" s="9" t="inlineStr">
        <is>
          <t>Taxa de Sucesso</t>
        </is>
      </c>
      <c r="I10" s="13">
        <f>IF(H5&gt;0, H8/H5, 0)</f>
        <v/>
      </c>
    </row>
    <row r="11" ht="20" customHeight="1">
      <c r="A11" s="5" t="n">
        <v>7</v>
      </c>
      <c r="B11" s="6" t="inlineStr"/>
      <c r="C11" s="7" t="inlineStr">
        <is>
          <t>cleilimalbertsousa@gmail.com</t>
        </is>
      </c>
      <c r="D11" s="7" t="inlineStr">
        <is>
          <t>Discente</t>
        </is>
      </c>
      <c r="E11" s="5" t="inlineStr">
        <is>
          <t>Pendente</t>
        </is>
      </c>
      <c r="F11" s="8" t="n"/>
    </row>
    <row r="12" ht="20" customHeight="1">
      <c r="A12" s="11" t="n">
        <v>8</v>
      </c>
      <c r="B12" s="6" t="inlineStr"/>
      <c r="C12" s="12" t="inlineStr">
        <is>
          <t>dinahguima@gmail.com</t>
        </is>
      </c>
      <c r="D12" s="12" t="inlineStr">
        <is>
          <t>Discente</t>
        </is>
      </c>
      <c r="E12" s="5" t="inlineStr">
        <is>
          <t>Pendente</t>
        </is>
      </c>
      <c r="F12" s="8" t="n"/>
    </row>
    <row r="13" ht="20" customHeight="1">
      <c r="A13" s="5" t="n">
        <v>9</v>
      </c>
      <c r="B13" s="6" t="inlineStr"/>
      <c r="C13" s="7" t="inlineStr">
        <is>
          <t>edecioportojunior@gmail.com</t>
        </is>
      </c>
      <c r="D13" s="7" t="inlineStr">
        <is>
          <t>Discente</t>
        </is>
      </c>
      <c r="E13" s="5" t="inlineStr">
        <is>
          <t>Pendente</t>
        </is>
      </c>
      <c r="F13" s="8" t="n"/>
    </row>
    <row r="14" ht="20" customHeight="1">
      <c r="A14" s="11" t="n">
        <v>10</v>
      </c>
      <c r="B14" s="6" t="inlineStr"/>
      <c r="C14" s="12" t="inlineStr">
        <is>
          <t>hosokawa.eduardo@gmail.com</t>
        </is>
      </c>
      <c r="D14" s="12" t="inlineStr">
        <is>
          <t>Discente</t>
        </is>
      </c>
      <c r="E14" s="5" t="inlineStr">
        <is>
          <t>Pendente</t>
        </is>
      </c>
      <c r="F14" s="8" t="n"/>
    </row>
    <row r="15" ht="20" customHeight="1">
      <c r="A15" s="5" t="n">
        <v>11</v>
      </c>
      <c r="B15" s="6" t="inlineStr"/>
      <c r="C15" s="7" t="inlineStr">
        <is>
          <t>ecdalpont@gmail.com</t>
        </is>
      </c>
      <c r="D15" s="7" t="inlineStr">
        <is>
          <t>Discente</t>
        </is>
      </c>
      <c r="E15" s="5" t="inlineStr">
        <is>
          <t>Pendente</t>
        </is>
      </c>
      <c r="F15" s="8" t="n"/>
    </row>
    <row r="16" ht="20" customHeight="1">
      <c r="A16" s="11" t="n">
        <v>12</v>
      </c>
      <c r="B16" s="6" t="inlineStr"/>
      <c r="C16" s="12" t="inlineStr">
        <is>
          <t>elicleiasantos@hotmail.com</t>
        </is>
      </c>
      <c r="D16" s="12" t="inlineStr">
        <is>
          <t>Discente</t>
        </is>
      </c>
      <c r="E16" s="5" t="inlineStr">
        <is>
          <t>Pendente</t>
        </is>
      </c>
      <c r="F16" s="8" t="n"/>
    </row>
    <row r="17" ht="20" customHeight="1">
      <c r="A17" s="5" t="n">
        <v>13</v>
      </c>
      <c r="B17" s="6" t="inlineStr"/>
      <c r="C17" s="7" t="inlineStr">
        <is>
          <t>asile.mcd@gmail.com</t>
        </is>
      </c>
      <c r="D17" s="7" t="inlineStr">
        <is>
          <t>Discente</t>
        </is>
      </c>
      <c r="E17" s="5" t="inlineStr">
        <is>
          <t>Pendente</t>
        </is>
      </c>
      <c r="F17" s="8" t="n"/>
    </row>
    <row r="18" ht="20" customHeight="1">
      <c r="A18" s="11" t="n">
        <v>14</v>
      </c>
      <c r="B18" s="6" t="inlineStr"/>
      <c r="C18" s="12" t="inlineStr">
        <is>
          <t>zanlor70@gmail.com</t>
        </is>
      </c>
      <c r="D18" s="12" t="inlineStr">
        <is>
          <t>Discente</t>
        </is>
      </c>
      <c r="E18" s="5" t="inlineStr">
        <is>
          <t>Pendente</t>
        </is>
      </c>
      <c r="F18" s="8" t="n"/>
    </row>
    <row r="19" ht="20" customHeight="1">
      <c r="A19" s="5" t="n">
        <v>15</v>
      </c>
      <c r="B19" s="6" t="inlineStr"/>
      <c r="C19" s="7" t="inlineStr">
        <is>
          <t>femelany1@gmail.com</t>
        </is>
      </c>
      <c r="D19" s="7" t="inlineStr">
        <is>
          <t>Discente</t>
        </is>
      </c>
      <c r="E19" s="5" t="inlineStr">
        <is>
          <t>Pendente</t>
        </is>
      </c>
      <c r="F19" s="8" t="n"/>
    </row>
    <row r="20" ht="20" customHeight="1">
      <c r="A20" s="11" t="n">
        <v>16</v>
      </c>
      <c r="B20" s="6" t="inlineStr"/>
      <c r="C20" s="12" t="inlineStr">
        <is>
          <t>francianeprazeres@gmail.com</t>
        </is>
      </c>
      <c r="D20" s="12" t="inlineStr">
        <is>
          <t>Discente</t>
        </is>
      </c>
      <c r="E20" s="5" t="inlineStr">
        <is>
          <t>Pendente</t>
        </is>
      </c>
      <c r="F20" s="8" t="n"/>
    </row>
    <row r="21" ht="20" customHeight="1">
      <c r="A21" s="5" t="n">
        <v>17</v>
      </c>
      <c r="B21" s="6" t="inlineStr"/>
      <c r="C21" s="7" t="inlineStr">
        <is>
          <t>coachcastrofrancisco@gmail.com</t>
        </is>
      </c>
      <c r="D21" s="7" t="inlineStr">
        <is>
          <t>Discente</t>
        </is>
      </c>
      <c r="E21" s="5" t="inlineStr">
        <is>
          <t>Pendente</t>
        </is>
      </c>
      <c r="F21" s="8" t="n"/>
    </row>
    <row r="22" ht="20" customHeight="1">
      <c r="A22" s="11" t="n">
        <v>18</v>
      </c>
      <c r="B22" s="6" t="inlineStr"/>
      <c r="C22" s="12" t="inlineStr">
        <is>
          <t>ga.albuquerque@gmail.com</t>
        </is>
      </c>
      <c r="D22" s="12" t="inlineStr">
        <is>
          <t>Discente</t>
        </is>
      </c>
      <c r="E22" s="5" t="inlineStr">
        <is>
          <t>Pendente</t>
        </is>
      </c>
      <c r="F22" s="8" t="n"/>
    </row>
    <row r="23" ht="20" customHeight="1">
      <c r="A23" s="5" t="n">
        <v>19</v>
      </c>
      <c r="B23" s="6" t="inlineStr"/>
      <c r="C23" s="7" t="inlineStr">
        <is>
          <t>jackcdearaujo@gmail.com</t>
        </is>
      </c>
      <c r="D23" s="7" t="inlineStr">
        <is>
          <t>Discente</t>
        </is>
      </c>
      <c r="E23" s="5" t="inlineStr">
        <is>
          <t>Pendente</t>
        </is>
      </c>
      <c r="F23" s="8" t="n"/>
    </row>
    <row r="24" ht="20" customHeight="1">
      <c r="A24" s="11" t="n">
        <v>20</v>
      </c>
      <c r="B24" s="6" t="inlineStr"/>
      <c r="C24" s="12" t="inlineStr">
        <is>
          <t>levideoliveira3000@gmail.com</t>
        </is>
      </c>
      <c r="D24" s="12" t="inlineStr">
        <is>
          <t>Discente</t>
        </is>
      </c>
      <c r="E24" s="5" t="inlineStr">
        <is>
          <t>Pendente</t>
        </is>
      </c>
      <c r="F24" s="8" t="n"/>
    </row>
    <row r="25" ht="20" customHeight="1">
      <c r="A25" s="5" t="n">
        <v>21</v>
      </c>
      <c r="B25" s="6" t="inlineStr"/>
      <c r="C25" s="7" t="inlineStr">
        <is>
          <t>wherli.ligia@gmail.com</t>
        </is>
      </c>
      <c r="D25" s="7" t="inlineStr">
        <is>
          <t>Discente</t>
        </is>
      </c>
      <c r="E25" s="5" t="inlineStr">
        <is>
          <t>Pendente</t>
        </is>
      </c>
      <c r="F25" s="8" t="n"/>
    </row>
    <row r="26" ht="20" customHeight="1">
      <c r="A26" s="11" t="n">
        <v>22</v>
      </c>
      <c r="B26" s="6" t="inlineStr"/>
      <c r="C26" s="12" t="inlineStr">
        <is>
          <t>prof.lou.tocchetto@gmail.com</t>
        </is>
      </c>
      <c r="D26" s="12" t="inlineStr">
        <is>
          <t>Discente</t>
        </is>
      </c>
      <c r="E26" s="5" t="inlineStr">
        <is>
          <t>Pendente</t>
        </is>
      </c>
      <c r="F26" s="8" t="n"/>
    </row>
    <row r="27" ht="20" customHeight="1">
      <c r="A27" s="5" t="n">
        <v>23</v>
      </c>
      <c r="B27" s="6" t="inlineStr"/>
      <c r="C27" s="7" t="inlineStr">
        <is>
          <t>botti.17.5.30@gmail.com</t>
        </is>
      </c>
      <c r="D27" s="7" t="inlineStr">
        <is>
          <t>Discente</t>
        </is>
      </c>
      <c r="E27" s="5" t="inlineStr">
        <is>
          <t>Pendente</t>
        </is>
      </c>
      <c r="F27" s="8" t="n"/>
    </row>
    <row r="28" ht="20" customHeight="1">
      <c r="A28" s="11" t="n">
        <v>24</v>
      </c>
      <c r="B28" s="6" t="inlineStr"/>
      <c r="C28" s="12" t="inlineStr">
        <is>
          <t>mazzinha75@gmail.com</t>
        </is>
      </c>
      <c r="D28" s="12" t="inlineStr">
        <is>
          <t>Discente</t>
        </is>
      </c>
      <c r="E28" s="5" t="inlineStr">
        <is>
          <t>Pendente</t>
        </is>
      </c>
      <c r="F28" s="8" t="n"/>
    </row>
    <row r="29" ht="20" customHeight="1">
      <c r="A29" s="5" t="n">
        <v>25</v>
      </c>
      <c r="B29" s="6" t="inlineStr"/>
      <c r="C29" s="7" t="inlineStr">
        <is>
          <t>maridesa.arquitetura@gmail.com</t>
        </is>
      </c>
      <c r="D29" s="7" t="inlineStr">
        <is>
          <t>Discente</t>
        </is>
      </c>
      <c r="E29" s="5" t="inlineStr">
        <is>
          <t>Pendente</t>
        </is>
      </c>
      <c r="F29" s="8" t="n"/>
    </row>
    <row r="30" ht="20" customHeight="1">
      <c r="A30" s="11" t="n">
        <v>26</v>
      </c>
      <c r="B30" s="6" t="inlineStr"/>
      <c r="C30" s="12" t="inlineStr">
        <is>
          <t>marinaluiza.borgescosta@gmail.com</t>
        </is>
      </c>
      <c r="D30" s="12" t="inlineStr">
        <is>
          <t>Discente</t>
        </is>
      </c>
      <c r="E30" s="5" t="inlineStr">
        <is>
          <t>Pendente</t>
        </is>
      </c>
      <c r="F30" s="8" t="n"/>
    </row>
    <row r="31" ht="20" customHeight="1">
      <c r="A31" s="5" t="n">
        <v>27</v>
      </c>
      <c r="B31" s="6" t="inlineStr"/>
      <c r="C31" s="7" t="inlineStr">
        <is>
          <t>nataliacuchiantoniolli@gmail.com</t>
        </is>
      </c>
      <c r="D31" s="7" t="inlineStr">
        <is>
          <t>Discente</t>
        </is>
      </c>
      <c r="E31" s="5" t="inlineStr">
        <is>
          <t>Pendente</t>
        </is>
      </c>
      <c r="F31" s="8" t="n"/>
    </row>
    <row r="32" ht="20" customHeight="1">
      <c r="A32" s="11" t="n">
        <v>28</v>
      </c>
      <c r="B32" s="6" t="inlineStr"/>
      <c r="C32" s="12" t="inlineStr">
        <is>
          <t>natalymeurer@gmail.com</t>
        </is>
      </c>
      <c r="D32" s="12" t="inlineStr">
        <is>
          <t>Discente</t>
        </is>
      </c>
      <c r="E32" s="5" t="inlineStr">
        <is>
          <t>Pendente</t>
        </is>
      </c>
      <c r="F32" s="8" t="n"/>
    </row>
    <row r="33" ht="20" customHeight="1">
      <c r="A33" s="5" t="n">
        <v>29</v>
      </c>
      <c r="B33" s="6" t="inlineStr"/>
      <c r="C33" s="7" t="inlineStr">
        <is>
          <t>paularamos.t.a@gmail.com</t>
        </is>
      </c>
      <c r="D33" s="7" t="inlineStr">
        <is>
          <t>Discente</t>
        </is>
      </c>
      <c r="E33" s="5" t="inlineStr">
        <is>
          <t>Pendente</t>
        </is>
      </c>
      <c r="F33" s="8" t="n"/>
    </row>
    <row r="34" ht="20" customHeight="1">
      <c r="A34" s="11" t="n">
        <v>30</v>
      </c>
      <c r="B34" s="6" t="inlineStr"/>
      <c r="C34" s="12" t="inlineStr">
        <is>
          <t>paulohrosaa@gmail.com</t>
        </is>
      </c>
      <c r="D34" s="12" t="inlineStr">
        <is>
          <t>Discente</t>
        </is>
      </c>
      <c r="E34" s="5" t="inlineStr">
        <is>
          <t>Pendente</t>
        </is>
      </c>
      <c r="F34" s="8" t="n"/>
    </row>
    <row r="35" ht="20" customHeight="1">
      <c r="A35" s="5" t="n">
        <v>31</v>
      </c>
      <c r="B35" s="6" t="inlineStr"/>
      <c r="C35" s="7" t="inlineStr">
        <is>
          <t>silvanarodriguesdossantos794@gmail.com</t>
        </is>
      </c>
      <c r="D35" s="7" t="inlineStr">
        <is>
          <t>Discente</t>
        </is>
      </c>
      <c r="E35" s="5" t="inlineStr">
        <is>
          <t>Pendente</t>
        </is>
      </c>
      <c r="F35" s="8" t="n"/>
    </row>
  </sheetData>
  <dataValidations count="1">
    <dataValidation sqref="E5:E35" showDropDown="0" showInputMessage="0" showErrorMessage="0" allowBlank="1" type="list">
      <formula1>"Pendente,Enviado,Erro"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2026-08-29T22:06:00Z</dcterms:created>
  <dcterms:modified xmlns:dcterms="http://purl.org/dc/terms/" xmlns:xsi="http://www.w3.org/2001/XMLSchema-instance" xsi:type="dcterms:W3CDTF">2026-08-29T22:06:00Z</dcterms:modified>
</cp:coreProperties>
</file>